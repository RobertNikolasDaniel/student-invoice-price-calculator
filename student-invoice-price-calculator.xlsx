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FABFDA37-8F57-48C5-93EE-1344B35CEF92}" xr6:coauthVersionLast="47" xr6:coauthVersionMax="47" xr10:uidLastSave="{00000000-0000-0000-0000-000000000000}"/>
  <bookViews>
    <workbookView xWindow="-28920" yWindow="-120" windowWidth="29040" windowHeight="15720" xr2:uid="{29EC9078-7788-4188-8202-F62845754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H2" i="1"/>
  <c r="G2" i="1"/>
  <c r="D2" i="1"/>
  <c r="E2" i="1" s="1"/>
</calcChain>
</file>

<file path=xl/sharedStrings.xml><?xml version="1.0" encoding="utf-8"?>
<sst xmlns="http://schemas.openxmlformats.org/spreadsheetml/2006/main" count="16" uniqueCount="15">
  <si>
    <t>student-invoice-price-calculator</t>
  </si>
  <si>
    <t>par</t>
  </si>
  <si>
    <t>coupon frequency (per year)</t>
  </si>
  <si>
    <t>days since last coupon</t>
  </si>
  <si>
    <t>cash ust inputs</t>
  </si>
  <si>
    <t>current market price</t>
  </si>
  <si>
    <t>futures inputs</t>
  </si>
  <si>
    <t>cf</t>
  </si>
  <si>
    <t>fut implied price</t>
  </si>
  <si>
    <t>net basis</t>
  </si>
  <si>
    <t>invoice price</t>
  </si>
  <si>
    <t>acc interest</t>
  </si>
  <si>
    <t>coupon payment</t>
  </si>
  <si>
    <t>coupon rate (decimal)</t>
  </si>
  <si>
    <t>days in coupon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</si>
</sst>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37AC-EE36-4D24-ACAC-CB3750726E17}">
  <dimension ref="A1:H11"/>
  <sheetViews>
    <sheetView tabSelected="1" zoomScale="160" zoomScaleNormal="160" workbookViewId="0">
      <selection activeCell="M4" sqref="M4"/>
    </sheetView>
  </sheetViews>
  <sheetFormatPr defaultRowHeight="15" x14ac:dyDescent="0.25"/>
  <cols>
    <col min="1" max="1" width="30.7109375" customWidth="1"/>
    <col min="2" max="2" width="15.28515625" customWidth="1"/>
    <col min="4" max="4" width="11.7109375" customWidth="1"/>
    <col min="5" max="5" width="10.7109375" customWidth="1"/>
    <col min="6" max="6" width="11.140625" customWidth="1"/>
    <col min="7" max="7" width="11" customWidth="1"/>
    <col min="8" max="8" width="10.7109375" customWidth="1"/>
  </cols>
  <sheetData>
    <row r="1" spans="1:8" ht="38.25" customHeight="1" x14ac:dyDescent="0.25">
      <c r="A1" s="1" t="s">
        <v>0</v>
      </c>
      <c r="D1" s="5" t="s">
        <v>8</v>
      </c>
      <c r="E1" s="7" t="s">
        <v>9</v>
      </c>
      <c r="F1" s="9" t="s">
        <v>10</v>
      </c>
      <c r="G1" s="11" t="s">
        <v>11</v>
      </c>
      <c r="H1" s="13" t="s">
        <v>12</v>
      </c>
    </row>
    <row r="2" spans="1:8" ht="33.75" customHeight="1" x14ac:dyDescent="0.25">
      <c r="A2" s="2" t="s">
        <v>4</v>
      </c>
      <c r="D2" s="6">
        <f>B10*B11</f>
        <v>100.62875</v>
      </c>
      <c r="E2" s="8">
        <f>B8-D2</f>
        <v>8.6212500000000034</v>
      </c>
      <c r="F2" s="10">
        <f>D2+G2</f>
        <v>101.53122252747252</v>
      </c>
      <c r="G2" s="12">
        <f>((B4*B3)/B5)*(B7/B6)</f>
        <v>0.90247252747252749</v>
      </c>
      <c r="H2" s="14">
        <f>(B4*B3)/B5</f>
        <v>2.25</v>
      </c>
    </row>
    <row r="3" spans="1:8" ht="32.25" customHeight="1" x14ac:dyDescent="0.25">
      <c r="A3" s="3" t="s">
        <v>1</v>
      </c>
      <c r="B3" s="4">
        <v>100</v>
      </c>
    </row>
    <row r="4" spans="1:8" ht="33" customHeight="1" x14ac:dyDescent="0.25">
      <c r="A4" s="3" t="s">
        <v>13</v>
      </c>
      <c r="B4" s="4">
        <v>4.4999999999999998E-2</v>
      </c>
    </row>
    <row r="5" spans="1:8" ht="33" customHeight="1" x14ac:dyDescent="0.25">
      <c r="A5" s="3" t="s">
        <v>2</v>
      </c>
      <c r="B5" s="4">
        <v>2</v>
      </c>
    </row>
    <row r="6" spans="1:8" ht="30" customHeight="1" x14ac:dyDescent="0.25">
      <c r="A6" s="3" t="s">
        <v>14</v>
      </c>
      <c r="B6" s="4">
        <v>182</v>
      </c>
    </row>
    <row r="7" spans="1:8" ht="29.25" customHeight="1" x14ac:dyDescent="0.25">
      <c r="A7" s="3" t="s">
        <v>3</v>
      </c>
      <c r="B7" s="4">
        <v>73</v>
      </c>
    </row>
    <row r="8" spans="1:8" ht="27" customHeight="1" x14ac:dyDescent="0.25">
      <c r="A8" s="3" t="s">
        <v>5</v>
      </c>
      <c r="B8" s="4">
        <v>109.25</v>
      </c>
    </row>
    <row r="9" spans="1:8" ht="27.75" customHeight="1" x14ac:dyDescent="0.25">
      <c r="A9" s="2" t="s">
        <v>6</v>
      </c>
    </row>
    <row r="10" spans="1:8" ht="27.75" customHeight="1" x14ac:dyDescent="0.25">
      <c r="A10" s="3" t="s">
        <v>5</v>
      </c>
      <c r="B10" s="4">
        <v>111.5</v>
      </c>
    </row>
    <row r="11" spans="1:8" ht="25.5" customHeight="1" x14ac:dyDescent="0.25">
      <c r="A11" s="3" t="s">
        <v>7</v>
      </c>
      <c r="B11" s="4">
        <v>0.90249999999999997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AD6A7A-E438-441E-A5AA-27FDE151DB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78CB7F-860D-493A-A371-CA68E62A90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B419A7-B72D-44E3-8A5B-DFDFFD3625CD}">
  <ds:schemaRefs>
    <ds:schemaRef ds:uri="aa22a689-7505-4716-b802-371d38c763eb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2026-05-30T14:38:15Z</dcterms:created>
  <dcterms:modified xsi:type="dcterms:W3CDTF">2026-05-30T15:31:06Z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